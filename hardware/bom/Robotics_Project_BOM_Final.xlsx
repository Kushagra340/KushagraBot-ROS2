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ush2.KUSHAGRA\Downloads\"/>
    </mc:Choice>
  </mc:AlternateContent>
  <xr:revisionPtr revIDLastSave="0" documentId="13_ncr:1_{554AF167-8514-4799-B1F5-EC47DC5146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Robotics 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15" i="1"/>
  <c r="H22" i="1"/>
  <c r="G28" i="1"/>
  <c r="F17" i="1"/>
  <c r="G17" i="1" s="1"/>
  <c r="F16" i="1"/>
  <c r="G16" i="1" s="1"/>
  <c r="F15" i="1"/>
  <c r="F18" i="1"/>
  <c r="G18" i="1" s="1"/>
  <c r="F19" i="1"/>
  <c r="F20" i="1"/>
  <c r="G20" i="1" s="1"/>
  <c r="F21" i="1"/>
  <c r="G26" i="1"/>
  <c r="G25" i="1"/>
  <c r="G24" i="1"/>
  <c r="G23" i="1"/>
  <c r="G22" i="1"/>
  <c r="G21" i="1"/>
  <c r="G19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<sst xmlns="http://schemas.openxmlformats.org/spreadsheetml/2006/main" count="83" uniqueCount="61">
  <si>
    <t>Sr. No.</t>
  </si>
  <si>
    <t>Website</t>
  </si>
  <si>
    <t>Component Name</t>
  </si>
  <si>
    <t>Link</t>
  </si>
  <si>
    <t>Quantity</t>
  </si>
  <si>
    <t>Est. Unit Price (₹)</t>
  </si>
  <si>
    <t>Total Price (₹)</t>
  </si>
  <si>
    <t>robu.in</t>
  </si>
  <si>
    <t>KCD1 2 Pin 10A 250V AC SPST Red Rocker Switch</t>
  </si>
  <si>
    <t>https://robu.in/product/kcd1-101-spst-mini-rocker-switch-2pinon-off/</t>
  </si>
  <si>
    <t>Noel Soldering Iron Kit 25W 7 in 1</t>
  </si>
  <si>
    <t>https://robu.in/product/noel-soldering-iron-kit-25w-7-in-1/</t>
  </si>
  <si>
    <t>High Quality Ultra Flexible 24AWG Silicone Wire Red (per m)</t>
  </si>
  <si>
    <t>https://robu.in/product/high-quality-ultra-flexible-24awg-silicone-wire-red/</t>
  </si>
  <si>
    <t>Aluminum Electrolytic Capacitor 100uF</t>
  </si>
  <si>
    <t>https://robu.in/product/elxz350ell101mf15d-chemi-con-aluminum-electrolytic-capacitor-100uf-3/</t>
  </si>
  <si>
    <t>24AWG High Voltage Silicone Wire 3000V Black (per m)</t>
  </si>
  <si>
    <t>https://robu.in/product/24awg-high-voltage-silicone-wire-3000v-black/</t>
  </si>
  <si>
    <t>VL53L0X ToF Based Lidar Laser Distance Sensor</t>
  </si>
  <si>
    <t>https://robu.in/product/vl53l0x-tof-based-lidar-laser-distance-sensor/</t>
  </si>
  <si>
    <t>N20 3V 150RPM Micro Metal Gear Motor With Encoder</t>
  </si>
  <si>
    <t>https://robu.in/product/n20-3v-150rpm-micro-metal-gear-motor-with-encoder/</t>
  </si>
  <si>
    <t>MPU-6050 Gyro Sensor &amp; Accelerometer</t>
  </si>
  <si>
    <t>https://robu.in/product/mpu-6050-gyro-sensor-2-accelerometer/</t>
  </si>
  <si>
    <t>34mm Mini Car N20 Motor Wheel Rubber Small Wheel</t>
  </si>
  <si>
    <t>https://robu.in/product/34mm-mini-car-n20-motor-wheel-rubber-small-wheel/</t>
  </si>
  <si>
    <t>Digital Multimeter Small Yellow Color LCD</t>
  </si>
  <si>
    <t>https://robu.in/product/digital-multimeter-small-yellow-color-lcd-ac-dc-measuring-voltage-current/</t>
  </si>
  <si>
    <t>1203B PWM 6V 12V 24V 28V 3A DC Motor Speed Regulator</t>
  </si>
  <si>
    <t>https://robu.in/product/1203b-pwm-6v-12v-24v-28v-3a-dc-motor-speed-regulator/</t>
  </si>
  <si>
    <t>Green ESP32 Breakout Board for 38Pin ESP32</t>
  </si>
  <si>
    <t>https://robu.in/product/green-esp32-breakout-board-for-38pin-esp32-development-board/</t>
  </si>
  <si>
    <t>12V Cold White 5050 SMD LED Strip 1Meter</t>
  </si>
  <si>
    <t>https://robu.in/product/12v-cold-white-5050-smd-led-strip-1meter/</t>
  </si>
  <si>
    <t>robokits.co.in</t>
  </si>
  <si>
    <t>M3 x 20 mm CSK Bolt Stainless Steel 304 (Piece)</t>
  </si>
  <si>
    <t>https://robokits.co.in/mechanical-parts/nut-bolts-standoffs/flat-head-csk-bolt/m3-x-20-mm-csk-bolt-stainless-steel-304-moq-25-pcs?products_id=4353:48a79bcf6049ad894ef98cbc17afec96</t>
  </si>
  <si>
    <t>DC-DC Boost 25V 2A MT3608</t>
  </si>
  <si>
    <t>https://robokits.co.in/power-supply/dc-dc-power-supply/dc-dc-boost-25v-2a-mt3608?products_id=1065:a2137a2ae8e39b5002a3f8909ecb88fe</t>
  </si>
  <si>
    <t>M3 Nuts 304 Stainless Steel (Piece)</t>
  </si>
  <si>
    <t>https://robokits.co.in/robot-parts/nut-bolts-standoffs/nuts/m3-nuts-304-stainless-steel-moq-50-pcs?products_id=2282:d6bcb486f72ae7b5dc68b5b7df7ec887</t>
  </si>
  <si>
    <t>M3 x 3 mm Brass Heat Threaded Round Insert Nut (Piece)</t>
  </si>
  <si>
    <t>https://robokits.co.in/robot-parts/nut-bolts-standoffs/nuts/m3-x-3-mm-brass-heat-threaded-round-insert-nut-moq-25-pcs.?products_id=5617:b56b7c12f20e05664ec7674d075c5fc0</t>
  </si>
  <si>
    <t>M3 Flat Washer 304 Stainless Steel (Piece)</t>
  </si>
  <si>
    <t>https://robokits.co.in/robot-parts/nut-bolts-standoffs/washers/m3-flat-washer-304-stainless-steel-moq-50-pcs?products_id=2602:6403675579f6114559c90de0014cd3d6</t>
  </si>
  <si>
    <t>Two Way Motor Drive Module DRV8833</t>
  </si>
  <si>
    <t>https://robokits.co.in/motor-drives-drivers/dc-motor-driver/two-way-motor-drive-module-drv8833?products_id=4632:159c1ffe5b61b41b3c4d8f4c2150f6c4</t>
  </si>
  <si>
    <t>Turbo Fan Blower</t>
  </si>
  <si>
    <t>https://robokits.co.in/3d-printer/accessories/turbo-fan-blower</t>
  </si>
  <si>
    <t>flyrobo.in</t>
  </si>
  <si>
    <t>18650 Battery Shield for Raspberry Pi and Arduino ESP8266</t>
  </si>
  <si>
    <t>https://www.flyrobo.in/18650-battery-shield-for-raspberry-pi-andarduino-esp8266</t>
  </si>
  <si>
    <t>Li-ion 18650 3.7V 2200mAh Battery 1C</t>
  </si>
  <si>
    <t>https://www.flyrobo.in/li-ion-18650-3.7v-2200mah-battery-1c</t>
  </si>
  <si>
    <t>Mini 3pi Car N20 Caster Robot Ball Wheel</t>
  </si>
  <si>
    <t>https://www.flyrobo.in/mini-3pi-car-n20-caster-robot-ball-wheel</t>
  </si>
  <si>
    <t>230pcs XH 2.54 Terminal Kit Housing Pin Header JST Connector</t>
  </si>
  <si>
    <t>https://www.flyrobo.in/230pcs-xh-2.54-2p-3p-4p-5pin-2.54mm-pitch-terminal-kit-housing-pin-header-jst-connector</t>
  </si>
  <si>
    <t>ESP32 NodeMCU WiFi Bluetooth Development Module 30 Pin</t>
  </si>
  <si>
    <t>https://www.flyrobo.in/esp32-node-mcu-wifi-bluetooth-development-module-30-pin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</si>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</sst>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rgb="FF0563C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3" fillId="0" borderId="0" xfId="0" applyFont="1" applyAlignment="1">
      <alignment horizontal="right"/>
    </xf>
    <xf numFmtId="164" fontId="3" fillId="3" borderId="1" xfId="0" applyNumberFormat="1" applyFont="1" applyFill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mpu-6050-gyro-sensor-2-accelerometer/" TargetMode="External"/><Relationship Id="rId13" Type="http://schemas.openxmlformats.org/officeDocument/2006/relationships/hyperlink" Target="https://robu.in/product/12v-cold-white-5050-smd-led-strip-1meter/" TargetMode="External"/><Relationship Id="rId18" Type="http://schemas.openxmlformats.org/officeDocument/2006/relationships/hyperlink" Target="https://robokits.co.in/robot-parts/nut-bolts-standoffs/washers/m3-flat-washer-304-stainless-steel-moq-50-pcs?products_id=2602:6403675579f6114559c90de0014cd3d6" TargetMode="External"/><Relationship Id="rId3" Type="http://schemas.openxmlformats.org/officeDocument/2006/relationships/hyperlink" Target="https://robu.in/product/high-quality-ultra-flexible-24awg-silicone-wire-red/" TargetMode="External"/><Relationship Id="rId21" Type="http://schemas.openxmlformats.org/officeDocument/2006/relationships/hyperlink" Target="https://www.flyrobo.in/18650-battery-shield-for-raspberry-pi-andarduino-esp8266" TargetMode="External"/><Relationship Id="rId7" Type="http://schemas.openxmlformats.org/officeDocument/2006/relationships/hyperlink" Target="https://robu.in/product/n20-3v-150rpm-micro-metal-gear-motor-with-encoder/" TargetMode="External"/><Relationship Id="rId12" Type="http://schemas.openxmlformats.org/officeDocument/2006/relationships/hyperlink" Target="https://robu.in/product/green-esp32-breakout-board-for-38pin-esp32-development-board/" TargetMode="External"/><Relationship Id="rId17" Type="http://schemas.openxmlformats.org/officeDocument/2006/relationships/hyperlink" Target="https://robokits.co.in/robot-parts/nut-bolts-standoffs/nuts/m3-x-3-mm-brass-heat-threaded-round-insert-nut-moq-25-pcs.?products_id=5617:b56b7c12f20e05664ec7674d075c5fc0" TargetMode="External"/><Relationship Id="rId25" Type="http://schemas.openxmlformats.org/officeDocument/2006/relationships/hyperlink" Target="https://www.flyrobo.in/esp32-node-mcu-wifi-bluetooth-development-module-30-pin" TargetMode="External"/><Relationship Id="rId2" Type="http://schemas.openxmlformats.org/officeDocument/2006/relationships/hyperlink" Target="https://robu.in/product/noel-soldering-iron-kit-25w-7-in-1/" TargetMode="External"/><Relationship Id="rId16" Type="http://schemas.openxmlformats.org/officeDocument/2006/relationships/hyperlink" Target="https://robokits.co.in/robot-parts/nut-bolts-standoffs/nuts/m3-nuts-304-stainless-steel-moq-50-pcs?products_id=2282:d6bcb486f72ae7b5dc68b5b7df7ec887" TargetMode="External"/><Relationship Id="rId20" Type="http://schemas.openxmlformats.org/officeDocument/2006/relationships/hyperlink" Target="https://robokits.co.in/3d-printer/accessories/turbo-fan-blower" TargetMode="External"/><Relationship Id="rId1" Type="http://schemas.openxmlformats.org/officeDocument/2006/relationships/hyperlink" Target="https://robu.in/product/kcd1-101-spst-mini-rocker-switch-2pinon-off/" TargetMode="External"/><Relationship Id="rId6" Type="http://schemas.openxmlformats.org/officeDocument/2006/relationships/hyperlink" Target="https://robu.in/product/vl53l0x-tof-based-lidar-laser-distance-sensor/" TargetMode="External"/><Relationship Id="rId11" Type="http://schemas.openxmlformats.org/officeDocument/2006/relationships/hyperlink" Target="https://robu.in/product/1203b-pwm-6v-12v-24v-28v-3a-dc-motor-speed-regulator/" TargetMode="External"/><Relationship Id="rId24" Type="http://schemas.openxmlformats.org/officeDocument/2006/relationships/hyperlink" Target="https://www.flyrobo.in/230pcs-xh-2.54-2p-3p-4p-5pin-2.54mm-pitch-terminal-kit-housing-pin-header-jst-connector" TargetMode="External"/><Relationship Id="rId5" Type="http://schemas.openxmlformats.org/officeDocument/2006/relationships/hyperlink" Target="https://robu.in/product/24awg-high-voltage-silicone-wire-3000v-black/" TargetMode="External"/><Relationship Id="rId15" Type="http://schemas.openxmlformats.org/officeDocument/2006/relationships/hyperlink" Target="https://robokits.co.in/power-supply/dc-dc-power-supply/dc-dc-boost-25v-2a-mt3608?products_id=1065:a2137a2ae8e39b5002a3f8909ecb88fe" TargetMode="External"/><Relationship Id="rId23" Type="http://schemas.openxmlformats.org/officeDocument/2006/relationships/hyperlink" Target="https://www.flyrobo.in/mini-3pi-car-n20-caster-robot-ball-wheel" TargetMode="External"/><Relationship Id="rId10" Type="http://schemas.openxmlformats.org/officeDocument/2006/relationships/hyperlink" Target="https://robu.in/product/digital-multimeter-small-yellow-color-lcd-ac-dc-measuring-voltage-current/" TargetMode="External"/><Relationship Id="rId19" Type="http://schemas.openxmlformats.org/officeDocument/2006/relationships/hyperlink" Target="https://robokits.co.in/motor-drives-drivers/dc-motor-driver/two-way-motor-drive-module-drv8833?products_id=4632:159c1ffe5b61b41b3c4d8f4c2150f6c4" TargetMode="External"/><Relationship Id="rId4" Type="http://schemas.openxmlformats.org/officeDocument/2006/relationships/hyperlink" Target="https://robu.in/product/elxz350ell101mf15d-chemi-con-aluminum-electrolytic-capacitor-100uf-3/" TargetMode="External"/><Relationship Id="rId9" Type="http://schemas.openxmlformats.org/officeDocument/2006/relationships/hyperlink" Target="https://robu.in/product/34mm-mini-car-n20-motor-wheel-rubber-small-wheel/" TargetMode="External"/><Relationship Id="rId14" Type="http://schemas.openxmlformats.org/officeDocument/2006/relationships/hyperlink" Target="https://robokits.co.in/mechanical-parts/nut-bolts-standoffs/flat-head-csk-bolt/m3-x-20-mm-csk-bolt-stainless-steel-304-moq-25-pcs?products_id=4353:48a79bcf6049ad894ef98cbc17afec96" TargetMode="External"/><Relationship Id="rId22" Type="http://schemas.openxmlformats.org/officeDocument/2006/relationships/hyperlink" Target="https://www.flyrobo.in/li-ion-18650-3.7v-2200mah-battery-1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H3" sqref="H3"/>
    </sheetView>
  </sheetViews>
  <sheetFormatPr defaultRowHeight="14.4" x14ac:dyDescent="0.3"/>
  <cols>
    <col min="1" max="1" width="8" customWidth="1"/>
    <col min="2" max="2" width="18" customWidth="1"/>
    <col min="3" max="3" width="50" customWidth="1"/>
    <col min="4" max="4" width="60" customWidth="1"/>
    <col min="5" max="5" width="10" customWidth="1"/>
    <col min="6" max="7" width="18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3">
      <c r="A2" s="2">
        <v>1</v>
      </c>
      <c r="B2" s="2" t="s">
        <v>7</v>
      </c>
      <c r="C2" s="3" t="s">
        <v>8</v>
      </c>
      <c r="D2" s="4" t="s">
        <v>9</v>
      </c>
      <c r="E2" s="2">
        <v>5</v>
      </c>
      <c r="F2" s="5">
        <v>11</v>
      </c>
      <c r="G2" s="5">
        <f t="shared" ref="G2:G26" si="0">E2*F2</f>
        <v>55</v>
      </c>
      <c r="H2" s="8">
        <f>G2+G3+G4+G5+G6+G7+G8+G9+G10+G11+G12+G13+G14</f>
        <v>3112</v>
      </c>
    </row>
    <row r="3" spans="1:8" x14ac:dyDescent="0.3">
      <c r="A3" s="2">
        <v>2</v>
      </c>
      <c r="B3" s="2" t="s">
        <v>7</v>
      </c>
      <c r="C3" s="3" t="s">
        <v>10</v>
      </c>
      <c r="D3" s="4" t="s">
        <v>11</v>
      </c>
      <c r="E3" s="2">
        <v>1</v>
      </c>
      <c r="F3" s="5">
        <v>490</v>
      </c>
      <c r="G3" s="5">
        <f t="shared" si="0"/>
        <v>490</v>
      </c>
    </row>
    <row r="4" spans="1:8" x14ac:dyDescent="0.3">
      <c r="A4" s="2">
        <v>3</v>
      </c>
      <c r="B4" s="2" t="s">
        <v>7</v>
      </c>
      <c r="C4" s="3" t="s">
        <v>12</v>
      </c>
      <c r="D4" s="4" t="s">
        <v>13</v>
      </c>
      <c r="E4" s="2">
        <v>5</v>
      </c>
      <c r="F4" s="5">
        <v>9</v>
      </c>
      <c r="G4" s="5">
        <f t="shared" si="0"/>
        <v>45</v>
      </c>
    </row>
    <row r="5" spans="1:8" x14ac:dyDescent="0.3">
      <c r="A5" s="2">
        <v>4</v>
      </c>
      <c r="B5" s="2" t="s">
        <v>7</v>
      </c>
      <c r="C5" s="3" t="s">
        <v>14</v>
      </c>
      <c r="D5" s="4" t="s">
        <v>15</v>
      </c>
      <c r="E5" s="2">
        <v>5</v>
      </c>
      <c r="F5" s="5">
        <v>17</v>
      </c>
      <c r="G5" s="5">
        <f t="shared" si="0"/>
        <v>85</v>
      </c>
    </row>
    <row r="6" spans="1:8" x14ac:dyDescent="0.3">
      <c r="A6" s="2">
        <v>5</v>
      </c>
      <c r="B6" s="2" t="s">
        <v>7</v>
      </c>
      <c r="C6" s="3" t="s">
        <v>16</v>
      </c>
      <c r="D6" s="4" t="s">
        <v>17</v>
      </c>
      <c r="E6" s="2">
        <v>5</v>
      </c>
      <c r="F6" s="5">
        <v>12</v>
      </c>
      <c r="G6" s="5">
        <f t="shared" si="0"/>
        <v>60</v>
      </c>
    </row>
    <row r="7" spans="1:8" x14ac:dyDescent="0.3">
      <c r="A7" s="2">
        <v>6</v>
      </c>
      <c r="B7" s="2" t="s">
        <v>7</v>
      </c>
      <c r="C7" s="3" t="s">
        <v>18</v>
      </c>
      <c r="D7" s="4" t="s">
        <v>19</v>
      </c>
      <c r="E7" s="2">
        <v>3</v>
      </c>
      <c r="F7" s="5">
        <v>121</v>
      </c>
      <c r="G7" s="5">
        <f t="shared" si="0"/>
        <v>363</v>
      </c>
    </row>
    <row r="8" spans="1:8" x14ac:dyDescent="0.3">
      <c r="A8" s="2">
        <v>7</v>
      </c>
      <c r="B8" s="2" t="s">
        <v>7</v>
      </c>
      <c r="C8" s="3" t="s">
        <v>20</v>
      </c>
      <c r="D8" s="4" t="s">
        <v>21</v>
      </c>
      <c r="E8" s="2">
        <v>2</v>
      </c>
      <c r="F8" s="5">
        <v>526</v>
      </c>
      <c r="G8" s="5">
        <f t="shared" si="0"/>
        <v>1052</v>
      </c>
    </row>
    <row r="9" spans="1:8" x14ac:dyDescent="0.3">
      <c r="A9" s="2">
        <v>8</v>
      </c>
      <c r="B9" s="2" t="s">
        <v>7</v>
      </c>
      <c r="C9" s="3" t="s">
        <v>22</v>
      </c>
      <c r="D9" s="4" t="s">
        <v>23</v>
      </c>
      <c r="E9" s="2">
        <v>1</v>
      </c>
      <c r="F9" s="5">
        <v>169</v>
      </c>
      <c r="G9" s="5">
        <f t="shared" si="0"/>
        <v>169</v>
      </c>
    </row>
    <row r="10" spans="1:8" x14ac:dyDescent="0.3">
      <c r="A10" s="2">
        <v>9</v>
      </c>
      <c r="B10" s="2" t="s">
        <v>7</v>
      </c>
      <c r="C10" s="3" t="s">
        <v>24</v>
      </c>
      <c r="D10" s="4" t="s">
        <v>25</v>
      </c>
      <c r="E10" s="2">
        <v>4</v>
      </c>
      <c r="F10" s="5">
        <v>50</v>
      </c>
      <c r="G10" s="5">
        <f t="shared" si="0"/>
        <v>200</v>
      </c>
    </row>
    <row r="11" spans="1:8" x14ac:dyDescent="0.3">
      <c r="A11" s="2">
        <v>10</v>
      </c>
      <c r="B11" s="2" t="s">
        <v>7</v>
      </c>
      <c r="C11" s="3" t="s">
        <v>26</v>
      </c>
      <c r="D11" s="4" t="s">
        <v>27</v>
      </c>
      <c r="E11" s="2">
        <v>1</v>
      </c>
      <c r="F11" s="5">
        <v>171</v>
      </c>
      <c r="G11" s="5">
        <f t="shared" si="0"/>
        <v>171</v>
      </c>
    </row>
    <row r="12" spans="1:8" x14ac:dyDescent="0.3">
      <c r="A12" s="2">
        <v>11</v>
      </c>
      <c r="B12" s="2" t="s">
        <v>7</v>
      </c>
      <c r="C12" s="3" t="s">
        <v>28</v>
      </c>
      <c r="D12" s="4" t="s">
        <v>29</v>
      </c>
      <c r="E12" s="2">
        <v>1</v>
      </c>
      <c r="F12" s="5">
        <v>84</v>
      </c>
      <c r="G12" s="5">
        <f t="shared" si="0"/>
        <v>84</v>
      </c>
    </row>
    <row r="13" spans="1:8" x14ac:dyDescent="0.3">
      <c r="A13" s="2">
        <v>12</v>
      </c>
      <c r="B13" s="2" t="s">
        <v>7</v>
      </c>
      <c r="C13" s="3" t="s">
        <v>30</v>
      </c>
      <c r="D13" s="4" t="s">
        <v>31</v>
      </c>
      <c r="E13" s="2">
        <v>1</v>
      </c>
      <c r="F13" s="5">
        <v>235</v>
      </c>
      <c r="G13" s="5">
        <f t="shared" si="0"/>
        <v>235</v>
      </c>
    </row>
    <row r="14" spans="1:8" x14ac:dyDescent="0.3">
      <c r="A14" s="2">
        <v>13</v>
      </c>
      <c r="B14" s="2" t="s">
        <v>7</v>
      </c>
      <c r="C14" s="3" t="s">
        <v>32</v>
      </c>
      <c r="D14" s="4" t="s">
        <v>33</v>
      </c>
      <c r="E14" s="2">
        <v>1</v>
      </c>
      <c r="F14" s="5">
        <v>103</v>
      </c>
      <c r="G14" s="5">
        <f t="shared" si="0"/>
        <v>103</v>
      </c>
    </row>
    <row r="15" spans="1:8" x14ac:dyDescent="0.3">
      <c r="A15" s="2">
        <v>14</v>
      </c>
      <c r="B15" s="2" t="s">
        <v>34</v>
      </c>
      <c r="C15" s="3" t="s">
        <v>35</v>
      </c>
      <c r="D15" s="4" t="s">
        <v>36</v>
      </c>
      <c r="E15" s="2">
        <v>50</v>
      </c>
      <c r="F15" s="5">
        <f>2*1.18</f>
        <v>2.36</v>
      </c>
      <c r="G15" s="5">
        <f t="shared" si="0"/>
        <v>118</v>
      </c>
      <c r="H15" s="8">
        <f>G15+G16+G17+G18+G19+G20+G21</f>
        <v>693.83999999999992</v>
      </c>
    </row>
    <row r="16" spans="1:8" x14ac:dyDescent="0.3">
      <c r="A16" s="2">
        <v>15</v>
      </c>
      <c r="B16" s="2" t="s">
        <v>34</v>
      </c>
      <c r="C16" s="3" t="s">
        <v>37</v>
      </c>
      <c r="D16" s="4" t="s">
        <v>38</v>
      </c>
      <c r="E16" s="2">
        <v>2</v>
      </c>
      <c r="F16" s="5">
        <f>28*1.18</f>
        <v>33.04</v>
      </c>
      <c r="G16" s="5">
        <f t="shared" si="0"/>
        <v>66.08</v>
      </c>
    </row>
    <row r="17" spans="1:8" x14ac:dyDescent="0.3">
      <c r="A17" s="2">
        <v>16</v>
      </c>
      <c r="B17" s="2" t="s">
        <v>34</v>
      </c>
      <c r="C17" s="3" t="s">
        <v>39</v>
      </c>
      <c r="D17" s="4" t="s">
        <v>40</v>
      </c>
      <c r="E17" s="2">
        <v>50</v>
      </c>
      <c r="F17" s="5">
        <f>1*1.18</f>
        <v>1.18</v>
      </c>
      <c r="G17" s="5">
        <f t="shared" si="0"/>
        <v>59</v>
      </c>
    </row>
    <row r="18" spans="1:8" x14ac:dyDescent="0.3">
      <c r="A18" s="2">
        <v>17</v>
      </c>
      <c r="B18" s="2" t="s">
        <v>34</v>
      </c>
      <c r="C18" s="3" t="s">
        <v>41</v>
      </c>
      <c r="D18" s="4" t="s">
        <v>42</v>
      </c>
      <c r="E18" s="2">
        <v>25</v>
      </c>
      <c r="F18" s="5">
        <f>3.8*1.18</f>
        <v>4.484</v>
      </c>
      <c r="G18" s="5">
        <f t="shared" si="0"/>
        <v>112.1</v>
      </c>
    </row>
    <row r="19" spans="1:8" x14ac:dyDescent="0.3">
      <c r="A19" s="2">
        <v>18</v>
      </c>
      <c r="B19" s="2" t="s">
        <v>34</v>
      </c>
      <c r="C19" s="3" t="s">
        <v>43</v>
      </c>
      <c r="D19" s="4" t="s">
        <v>44</v>
      </c>
      <c r="E19" s="2">
        <v>50</v>
      </c>
      <c r="F19" s="5">
        <f>2.4*1.18</f>
        <v>2.8319999999999999</v>
      </c>
      <c r="G19" s="5">
        <f t="shared" si="0"/>
        <v>141.6</v>
      </c>
    </row>
    <row r="20" spans="1:8" x14ac:dyDescent="0.3">
      <c r="A20" s="2">
        <v>19</v>
      </c>
      <c r="B20" s="2" t="s">
        <v>34</v>
      </c>
      <c r="C20" s="3" t="s">
        <v>45</v>
      </c>
      <c r="D20" s="4" t="s">
        <v>46</v>
      </c>
      <c r="E20" s="2">
        <v>1</v>
      </c>
      <c r="F20" s="5">
        <f>80*1.18</f>
        <v>94.399999999999991</v>
      </c>
      <c r="G20" s="5">
        <f t="shared" si="0"/>
        <v>94.399999999999991</v>
      </c>
    </row>
    <row r="21" spans="1:8" x14ac:dyDescent="0.3">
      <c r="A21" s="2">
        <v>20</v>
      </c>
      <c r="B21" s="2" t="s">
        <v>34</v>
      </c>
      <c r="C21" s="3" t="s">
        <v>47</v>
      </c>
      <c r="D21" s="4" t="s">
        <v>48</v>
      </c>
      <c r="E21" s="2">
        <v>1</v>
      </c>
      <c r="F21" s="5">
        <f>87*1.18</f>
        <v>102.66</v>
      </c>
      <c r="G21" s="5">
        <f t="shared" si="0"/>
        <v>102.66</v>
      </c>
    </row>
    <row r="22" spans="1:8" x14ac:dyDescent="0.3">
      <c r="A22" s="2">
        <v>21</v>
      </c>
      <c r="B22" s="2" t="s">
        <v>49</v>
      </c>
      <c r="C22" s="3" t="s">
        <v>50</v>
      </c>
      <c r="D22" s="4" t="s">
        <v>51</v>
      </c>
      <c r="E22" s="2">
        <v>1</v>
      </c>
      <c r="F22" s="5">
        <v>157</v>
      </c>
      <c r="G22" s="5">
        <f t="shared" si="0"/>
        <v>157</v>
      </c>
      <c r="H22" s="8">
        <f>G22+G23+G24+G25+G26</f>
        <v>1192</v>
      </c>
    </row>
    <row r="23" spans="1:8" x14ac:dyDescent="0.3">
      <c r="A23" s="2">
        <v>22</v>
      </c>
      <c r="B23" s="2" t="s">
        <v>49</v>
      </c>
      <c r="C23" s="3" t="s">
        <v>52</v>
      </c>
      <c r="D23" s="4" t="s">
        <v>53</v>
      </c>
      <c r="E23" s="2">
        <v>2</v>
      </c>
      <c r="F23" s="5">
        <v>96</v>
      </c>
      <c r="G23" s="5">
        <f t="shared" si="0"/>
        <v>192</v>
      </c>
    </row>
    <row r="24" spans="1:8" x14ac:dyDescent="0.3">
      <c r="A24" s="2">
        <v>23</v>
      </c>
      <c r="B24" s="2" t="s">
        <v>49</v>
      </c>
      <c r="C24" s="3" t="s">
        <v>54</v>
      </c>
      <c r="D24" s="4" t="s">
        <v>55</v>
      </c>
      <c r="E24" s="2">
        <v>1</v>
      </c>
      <c r="F24" s="5">
        <v>39</v>
      </c>
      <c r="G24" s="5">
        <f t="shared" si="0"/>
        <v>39</v>
      </c>
    </row>
    <row r="25" spans="1:8" x14ac:dyDescent="0.3">
      <c r="A25" s="2">
        <v>24</v>
      </c>
      <c r="B25" s="2" t="s">
        <v>49</v>
      </c>
      <c r="C25" s="3" t="s">
        <v>56</v>
      </c>
      <c r="D25" s="4" t="s">
        <v>57</v>
      </c>
      <c r="E25" s="2">
        <v>1</v>
      </c>
      <c r="F25" s="5">
        <v>366</v>
      </c>
      <c r="G25" s="5">
        <f t="shared" si="0"/>
        <v>366</v>
      </c>
    </row>
    <row r="26" spans="1:8" x14ac:dyDescent="0.3">
      <c r="A26" s="2">
        <v>25</v>
      </c>
      <c r="B26" s="2" t="s">
        <v>49</v>
      </c>
      <c r="C26" s="3" t="s">
        <v>58</v>
      </c>
      <c r="D26" s="4" t="s">
        <v>59</v>
      </c>
      <c r="E26" s="2">
        <v>1</v>
      </c>
      <c r="F26" s="5">
        <v>438</v>
      </c>
      <c r="G26" s="5">
        <f t="shared" si="0"/>
        <v>438</v>
      </c>
    </row>
    <row r="28" spans="1:8" x14ac:dyDescent="0.3">
      <c r="F28" s="6" t="s">
        <v>60</v>
      </c>
      <c r="G28" s="7">
        <f>SUM(G2:G26)</f>
        <v>4997.84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Robotics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Kushagra Patel</cp:lastModifiedBy>
  <dcterms:created xsi:type="dcterms:W3CDTF">2026-05-23T15:50:27Z</dcterms:created>
  <dcterms:modified xsi:type="dcterms:W3CDTF">2026-05-23T16:09:22Z</dcterms:modified>
</cp:coreProperties>
</file>